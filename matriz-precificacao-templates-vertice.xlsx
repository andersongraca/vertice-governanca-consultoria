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or template" sheetId="1" state="visible" r:id="rId1"/>
    <sheet xmlns:r="http://schemas.openxmlformats.org/officeDocument/2006/relationships" name="Pacotes" sheetId="2" state="visible" r:id="rId2"/>
    <sheet xmlns:r="http://schemas.openxmlformats.org/officeDocument/2006/relationships" name="Calculadora de escopo" sheetId="3" state="visible" r:id="rId3"/>
    <sheet xmlns:r="http://schemas.openxmlformats.org/officeDocument/2006/relationships" name="Regras e guia" sheetId="4" state="visible" r:id="rId4"/>
  </sheets>
  <definedNames>
    <definedName name="_xlnm._FilterDatabase" localSheetId="0" hidden="1">'Matriz por template'!$A$4:$L$28</definedName>
    <definedName name="_xlnm._FilterDatabase" localSheetId="1" hidden="1">'Pacotes'!$A$4:$I$13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name val="Aptos"/>
      <i val="1"/>
      <color rgb="005E6C70"/>
      <sz val="10"/>
    </font>
    <font>
      <name val="Aptos"/>
      <b val="1"/>
      <color rgb="00FFFFFF"/>
      <sz val="9"/>
    </font>
    <font>
      <name val="Aptos"/>
      <color rgb="00102528"/>
      <sz val="9"/>
    </font>
    <font>
      <name val="Aptos"/>
      <b val="1"/>
      <color rgb="00FFFFFF"/>
    </font>
    <font>
      <name val="Cambria"/>
      <b val="1"/>
      <color rgb="000C292D"/>
      <sz val="11"/>
    </font>
    <font>
      <name val="Aptos"/>
      <color rgb="00102528"/>
      <sz val="10"/>
    </font>
  </fonts>
  <fills count="4">
    <fill>
      <patternFill/>
    </fill>
    <fill>
      <patternFill patternType="gray125"/>
    </fill>
    <fill>
      <patternFill patternType="solid">
        <fgColor rgb="000C292D"/>
      </patternFill>
    </fill>
    <fill>
      <patternFill patternType="solid">
        <fgColor rgb="00FAFBFA"/>
      </patternFill>
    </fill>
  </fills>
  <borders count="2">
    <border>
      <left/>
      <right/>
      <top/>
      <bottom/>
      <diagonal/>
    </border>
    <border>
      <bottom style="hair">
        <color rgb="00D9DF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2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5" customWidth="1" min="4" max="4"/>
    <col width="16" customWidth="1" min="5" max="5"/>
    <col width="18" customWidth="1" min="6" max="6"/>
    <col width="18" customWidth="1" min="7" max="7"/>
    <col width="16" customWidth="1" min="8" max="8"/>
    <col width="12" customWidth="1" min="9" max="9"/>
    <col width="16" customWidth="1" min="10" max="10"/>
    <col width="16" customWidth="1" min="11" max="11"/>
    <col width="38" customWidth="1" min="12" max="12"/>
  </cols>
  <sheetData>
    <row r="1" ht="28" customHeight="1">
      <c r="A1" s="1" t="inlineStr">
        <is>
          <t>VÉRTICE | MATRIZ DE PREÇOS POR TEMPLATE</t>
        </is>
      </c>
    </row>
    <row r="2" ht="32" customHeight="1">
      <c r="A2" s="2" t="inlineStr">
        <is>
          <t>Preencha as colunas de proposta e desconto. Os preços de lista são sugestão inicial para o mercado privado sergipano, sem impostos e despesas.</t>
        </is>
      </c>
    </row>
    <row r="4" ht="32" customHeight="1">
      <c r="A4" s="3" t="inlineStr">
        <is>
          <t>Código</t>
        </is>
      </c>
      <c r="B4" s="3" t="inlineStr">
        <is>
          <t>Template</t>
        </is>
      </c>
      <c r="C4" s="3" t="inlineStr">
        <is>
          <t>Categoria</t>
        </is>
      </c>
      <c r="D4" s="3" t="inlineStr">
        <is>
          <t>Preço licença</t>
        </is>
      </c>
      <c r="E4" s="3" t="inlineStr">
        <is>
          <t>Customização</t>
        </is>
      </c>
      <c r="F4" s="3" t="inlineStr">
        <is>
          <t>Implantação mínima</t>
        </is>
      </c>
      <c r="G4" s="3" t="inlineStr">
        <is>
          <t>Implantação máxima</t>
        </is>
      </c>
      <c r="H4" s="3" t="inlineStr">
        <is>
          <t>Preço proposto</t>
        </is>
      </c>
      <c r="I4" s="3" t="inlineStr">
        <is>
          <t>Desconto %</t>
        </is>
      </c>
      <c r="J4" s="3" t="inlineStr">
        <is>
          <t>Preço final</t>
        </is>
      </c>
      <c r="K4" s="3" t="inlineStr">
        <is>
          <t>Modo de venda</t>
        </is>
      </c>
      <c r="L4" s="3" t="inlineStr">
        <is>
          <t>Observações</t>
        </is>
      </c>
    </row>
    <row r="5">
      <c r="A5" s="4" t="inlineStr">
        <is>
          <t>COM-01</t>
        </is>
      </c>
      <c r="B5" s="4" t="inlineStr">
        <is>
          <t>Briefing e Diagnóstico Comercial</t>
        </is>
      </c>
      <c r="C5" s="4" t="inlineStr">
        <is>
          <t>Comercial</t>
        </is>
      </c>
      <c r="D5" s="5" t="n">
        <v>590</v>
      </c>
      <c r="E5" s="5" t="n">
        <v>2200</v>
      </c>
      <c r="F5" s="5" t="n">
        <v>5000</v>
      </c>
      <c r="G5" s="5" t="n">
        <v>8000</v>
      </c>
      <c r="H5" s="5" t="n"/>
      <c r="I5" s="6" t="n">
        <v>0</v>
      </c>
      <c r="J5" s="5">
        <f>IF(H5="","",H5*(1-I5))</f>
        <v/>
      </c>
      <c r="K5" s="4" t="inlineStr">
        <is>
          <t>Customização</t>
        </is>
      </c>
      <c r="L5" s="4" t="inlineStr"/>
    </row>
    <row r="6">
      <c r="A6" s="7" t="inlineStr">
        <is>
          <t>COM-02</t>
        </is>
      </c>
      <c r="B6" s="7" t="inlineStr">
        <is>
          <t>Proposta Comercial Editável</t>
        </is>
      </c>
      <c r="C6" s="7" t="inlineStr">
        <is>
          <t>Comercial</t>
        </is>
      </c>
      <c r="D6" s="8" t="n">
        <v>790</v>
      </c>
      <c r="E6" s="8" t="n">
        <v>3200</v>
      </c>
      <c r="F6" s="8" t="n">
        <v>6000</v>
      </c>
      <c r="G6" s="8" t="n">
        <v>10000</v>
      </c>
      <c r="H6" s="8" t="n"/>
      <c r="I6" s="9" t="n">
        <v>0</v>
      </c>
      <c r="J6" s="8">
        <f>IF(H6="","",H6*(1-I6))</f>
        <v/>
      </c>
      <c r="K6" s="7" t="inlineStr">
        <is>
          <t>Customização</t>
        </is>
      </c>
      <c r="L6" s="7" t="inlineStr"/>
    </row>
    <row r="7">
      <c r="A7" s="4" t="inlineStr">
        <is>
          <t>COM-03</t>
        </is>
      </c>
      <c r="B7" s="4" t="inlineStr">
        <is>
          <t>Plano de Descoberta</t>
        </is>
      </c>
      <c r="C7" s="4" t="inlineStr">
        <is>
          <t>Comercial</t>
        </is>
      </c>
      <c r="D7" s="5" t="n">
        <v>890</v>
      </c>
      <c r="E7" s="5" t="n">
        <v>3600</v>
      </c>
      <c r="F7" s="5" t="n">
        <v>7500</v>
      </c>
      <c r="G7" s="5" t="n">
        <v>12000</v>
      </c>
      <c r="H7" s="5" t="n"/>
      <c r="I7" s="6" t="n">
        <v>0</v>
      </c>
      <c r="J7" s="5">
        <f>IF(H7="","",H7*(1-I7))</f>
        <v/>
      </c>
      <c r="K7" s="4" t="inlineStr">
        <is>
          <t>Customização</t>
        </is>
      </c>
      <c r="L7" s="4" t="inlineStr"/>
    </row>
    <row r="8">
      <c r="A8" s="7" t="inlineStr">
        <is>
          <t>PRJ-01</t>
        </is>
      </c>
      <c r="B8" s="7" t="inlineStr">
        <is>
          <t>Termo de Abertura do Projeto</t>
        </is>
      </c>
      <c r="C8" s="7" t="inlineStr">
        <is>
          <t>Projetos</t>
        </is>
      </c>
      <c r="D8" s="8" t="n">
        <v>890</v>
      </c>
      <c r="E8" s="8" t="n">
        <v>4000</v>
      </c>
      <c r="F8" s="8" t="n">
        <v>9500</v>
      </c>
      <c r="G8" s="8" t="n">
        <v>16000</v>
      </c>
      <c r="H8" s="8" t="n"/>
      <c r="I8" s="9" t="n">
        <v>0</v>
      </c>
      <c r="J8" s="8">
        <f>IF(H8="","",H8*(1-I8))</f>
        <v/>
      </c>
      <c r="K8" s="7" t="inlineStr">
        <is>
          <t>Customização</t>
        </is>
      </c>
      <c r="L8" s="7" t="inlineStr"/>
    </row>
    <row r="9">
      <c r="A9" s="4" t="inlineStr">
        <is>
          <t>PRJ-02</t>
        </is>
      </c>
      <c r="B9" s="4" t="inlineStr">
        <is>
          <t>Plano de Trabalho e Roadmap de 90 Dias</t>
        </is>
      </c>
      <c r="C9" s="4" t="inlineStr">
        <is>
          <t>Projetos</t>
        </is>
      </c>
      <c r="D9" s="5" t="n">
        <v>990</v>
      </c>
      <c r="E9" s="5" t="n">
        <v>4800</v>
      </c>
      <c r="F9" s="5" t="n">
        <v>12000</v>
      </c>
      <c r="G9" s="5" t="n">
        <v>20000</v>
      </c>
      <c r="H9" s="5" t="n"/>
      <c r="I9" s="6" t="n">
        <v>0</v>
      </c>
      <c r="J9" s="5">
        <f>IF(H9="","",H9*(1-I9))</f>
        <v/>
      </c>
      <c r="K9" s="4" t="inlineStr">
        <is>
          <t>Customização</t>
        </is>
      </c>
      <c r="L9" s="4" t="inlineStr"/>
    </row>
    <row r="10">
      <c r="A10" s="7" t="inlineStr">
        <is>
          <t>GOV-01</t>
        </is>
      </c>
      <c r="B10" s="7" t="inlineStr">
        <is>
          <t>Regimento de Comitê de TI</t>
        </is>
      </c>
      <c r="C10" s="7" t="inlineStr">
        <is>
          <t>Governança</t>
        </is>
      </c>
      <c r="D10" s="8" t="n">
        <v>1200</v>
      </c>
      <c r="E10" s="8" t="n">
        <v>6000</v>
      </c>
      <c r="F10" s="8" t="n">
        <v>14000</v>
      </c>
      <c r="G10" s="8" t="n">
        <v>24000</v>
      </c>
      <c r="H10" s="8" t="n"/>
      <c r="I10" s="9" t="n">
        <v>0</v>
      </c>
      <c r="J10" s="8">
        <f>IF(H10="","",H10*(1-I10))</f>
        <v/>
      </c>
      <c r="K10" s="7" t="inlineStr">
        <is>
          <t>Customização</t>
        </is>
      </c>
      <c r="L10" s="7" t="inlineStr"/>
    </row>
    <row r="11">
      <c r="A11" s="4" t="inlineStr">
        <is>
          <t>GOV-02</t>
        </is>
      </c>
      <c r="B11" s="4" t="inlineStr">
        <is>
          <t>Pauta e Ata de Comitê</t>
        </is>
      </c>
      <c r="C11" s="4" t="inlineStr">
        <is>
          <t>Governança</t>
        </is>
      </c>
      <c r="D11" s="5" t="n">
        <v>590</v>
      </c>
      <c r="E11" s="5" t="n">
        <v>2200</v>
      </c>
      <c r="F11" s="5" t="n">
        <v>4500</v>
      </c>
      <c r="G11" s="5" t="n">
        <v>7000</v>
      </c>
      <c r="H11" s="5" t="n"/>
      <c r="I11" s="6" t="n">
        <v>0</v>
      </c>
      <c r="J11" s="5">
        <f>IF(H11="","",H11*(1-I11))</f>
        <v/>
      </c>
      <c r="K11" s="4" t="inlineStr">
        <is>
          <t>Customização</t>
        </is>
      </c>
      <c r="L11" s="4" t="inlineStr"/>
    </row>
    <row r="12">
      <c r="A12" s="7" t="inlineStr">
        <is>
          <t>GOV-03</t>
        </is>
      </c>
      <c r="B12" s="7" t="inlineStr">
        <is>
          <t>Relatório Executivo de Status</t>
        </is>
      </c>
      <c r="C12" s="7" t="inlineStr">
        <is>
          <t>Governança</t>
        </is>
      </c>
      <c r="D12" s="8" t="n">
        <v>790</v>
      </c>
      <c r="E12" s="8" t="n">
        <v>3400</v>
      </c>
      <c r="F12" s="8" t="n">
        <v>6000</v>
      </c>
      <c r="G12" s="8" t="n">
        <v>10000</v>
      </c>
      <c r="H12" s="8" t="n"/>
      <c r="I12" s="9" t="n">
        <v>0</v>
      </c>
      <c r="J12" s="8">
        <f>IF(H12="","",H12*(1-I12))</f>
        <v/>
      </c>
      <c r="K12" s="7" t="inlineStr">
        <is>
          <t>Customização</t>
        </is>
      </c>
      <c r="L12" s="7" t="inlineStr"/>
    </row>
    <row r="13">
      <c r="A13" s="4" t="inlineStr">
        <is>
          <t>GOV-04</t>
        </is>
      </c>
      <c r="B13" s="4" t="inlineStr">
        <is>
          <t>Solicitação de Mudança</t>
        </is>
      </c>
      <c r="C13" s="4" t="inlineStr">
        <is>
          <t>Governança</t>
        </is>
      </c>
      <c r="D13" s="5" t="n">
        <v>790</v>
      </c>
      <c r="E13" s="5" t="n">
        <v>3600</v>
      </c>
      <c r="F13" s="5" t="n">
        <v>6500</v>
      </c>
      <c r="G13" s="5" t="n">
        <v>11000</v>
      </c>
      <c r="H13" s="5" t="n"/>
      <c r="I13" s="6" t="n">
        <v>0</v>
      </c>
      <c r="J13" s="5">
        <f>IF(H13="","",H13*(1-I13))</f>
        <v/>
      </c>
      <c r="K13" s="4" t="inlineStr">
        <is>
          <t>Customização</t>
        </is>
      </c>
      <c r="L13" s="4" t="inlineStr"/>
    </row>
    <row r="14">
      <c r="A14" s="7" t="inlineStr">
        <is>
          <t>GOV-05</t>
        </is>
      </c>
      <c r="B14" s="7" t="inlineStr">
        <is>
          <t>Termo de Aceite</t>
        </is>
      </c>
      <c r="C14" s="7" t="inlineStr">
        <is>
          <t>Governança</t>
        </is>
      </c>
      <c r="D14" s="8" t="n">
        <v>590</v>
      </c>
      <c r="E14" s="8" t="n">
        <v>2200</v>
      </c>
      <c r="F14" s="8" t="n">
        <v>4000</v>
      </c>
      <c r="G14" s="8" t="n">
        <v>6000</v>
      </c>
      <c r="H14" s="8" t="n"/>
      <c r="I14" s="9" t="n">
        <v>0</v>
      </c>
      <c r="J14" s="8">
        <f>IF(H14="","",H14*(1-I14))</f>
        <v/>
      </c>
      <c r="K14" s="7" t="inlineStr">
        <is>
          <t>Customização</t>
        </is>
      </c>
      <c r="L14" s="7" t="inlineStr"/>
    </row>
    <row r="15">
      <c r="A15" s="4" t="inlineStr">
        <is>
          <t>OPS-01</t>
        </is>
      </c>
      <c r="B15" s="4" t="inlineStr">
        <is>
          <t>Incidente e Lições Aprendidas</t>
        </is>
      </c>
      <c r="C15" s="4" t="inlineStr">
        <is>
          <t>Operação</t>
        </is>
      </c>
      <c r="D15" s="5" t="n">
        <v>890</v>
      </c>
      <c r="E15" s="5" t="n">
        <v>4200</v>
      </c>
      <c r="F15" s="5" t="n">
        <v>8000</v>
      </c>
      <c r="G15" s="5" t="n">
        <v>14000</v>
      </c>
      <c r="H15" s="5" t="n"/>
      <c r="I15" s="6" t="n">
        <v>0</v>
      </c>
      <c r="J15" s="5">
        <f>IF(H15="","",H15*(1-I15))</f>
        <v/>
      </c>
      <c r="K15" s="4" t="inlineStr">
        <is>
          <t>Customização</t>
        </is>
      </c>
      <c r="L15" s="4" t="inlineStr"/>
    </row>
    <row r="16">
      <c r="A16" s="7" t="inlineStr">
        <is>
          <t>FOR-01</t>
        </is>
      </c>
      <c r="B16" s="7" t="inlineStr">
        <is>
          <t>Avaliação de Fornecedor de TIC</t>
        </is>
      </c>
      <c r="C16" s="7" t="inlineStr">
        <is>
          <t>Fornecedores</t>
        </is>
      </c>
      <c r="D16" s="8" t="n">
        <v>990</v>
      </c>
      <c r="E16" s="8" t="n">
        <v>4500</v>
      </c>
      <c r="F16" s="8" t="n">
        <v>10000</v>
      </c>
      <c r="G16" s="8" t="n">
        <v>18000</v>
      </c>
      <c r="H16" s="8" t="n"/>
      <c r="I16" s="9" t="n">
        <v>0</v>
      </c>
      <c r="J16" s="8">
        <f>IF(H16="","",H16*(1-I16))</f>
        <v/>
      </c>
      <c r="K16" s="7" t="inlineStr">
        <is>
          <t>Customização</t>
        </is>
      </c>
      <c r="L16" s="7" t="inlineStr"/>
    </row>
    <row r="17">
      <c r="A17" s="4" t="inlineStr">
        <is>
          <t>DAT-01</t>
        </is>
      </c>
      <c r="B17" s="4" t="inlineStr">
        <is>
          <t>Registro de Atividades de Tratamento</t>
        </is>
      </c>
      <c r="C17" s="4" t="inlineStr">
        <is>
          <t>Dados e LGPD</t>
        </is>
      </c>
      <c r="D17" s="5" t="n">
        <v>1200</v>
      </c>
      <c r="E17" s="5" t="n">
        <v>6500</v>
      </c>
      <c r="F17" s="5" t="n">
        <v>18000</v>
      </c>
      <c r="G17" s="5" t="n">
        <v>32000</v>
      </c>
      <c r="H17" s="5" t="n"/>
      <c r="I17" s="6" t="n">
        <v>0</v>
      </c>
      <c r="J17" s="5">
        <f>IF(H17="","",H17*(1-I17))</f>
        <v/>
      </c>
      <c r="K17" s="4" t="inlineStr">
        <is>
          <t>Customização</t>
        </is>
      </c>
      <c r="L17" s="4" t="inlineStr"/>
    </row>
    <row r="18">
      <c r="A18" s="7" t="inlineStr">
        <is>
          <t>DAT-02</t>
        </is>
      </c>
      <c r="B18" s="7" t="inlineStr">
        <is>
          <t>Avaliação de Impacto à Privacidade</t>
        </is>
      </c>
      <c r="C18" s="7" t="inlineStr">
        <is>
          <t>Dados e LGPD</t>
        </is>
      </c>
      <c r="D18" s="8" t="n">
        <v>1500</v>
      </c>
      <c r="E18" s="8" t="n">
        <v>8500</v>
      </c>
      <c r="F18" s="8" t="n">
        <v>22000</v>
      </c>
      <c r="G18" s="8" t="n">
        <v>38000</v>
      </c>
      <c r="H18" s="8" t="n"/>
      <c r="I18" s="9" t="n">
        <v>0</v>
      </c>
      <c r="J18" s="8">
        <f>IF(H18="","",H18*(1-I18))</f>
        <v/>
      </c>
      <c r="K18" s="7" t="inlineStr">
        <is>
          <t>Customização</t>
        </is>
      </c>
      <c r="L18" s="7" t="inlineStr"/>
    </row>
    <row r="19">
      <c r="A19" s="4" t="inlineStr">
        <is>
          <t>IA-01</t>
        </is>
      </c>
      <c r="B19" s="4" t="inlineStr">
        <is>
          <t>Avaliação de Caso de Uso de IA</t>
        </is>
      </c>
      <c r="C19" s="4" t="inlineStr">
        <is>
          <t>IA</t>
        </is>
      </c>
      <c r="D19" s="5" t="n">
        <v>1500</v>
      </c>
      <c r="E19" s="5" t="n">
        <v>8500</v>
      </c>
      <c r="F19" s="5" t="n">
        <v>20000</v>
      </c>
      <c r="G19" s="5" t="n">
        <v>38000</v>
      </c>
      <c r="H19" s="5" t="n"/>
      <c r="I19" s="6" t="n">
        <v>0</v>
      </c>
      <c r="J19" s="5">
        <f>IF(H19="","",H19*(1-I19))</f>
        <v/>
      </c>
      <c r="K19" s="4" t="inlineStr">
        <is>
          <t>Customização</t>
        </is>
      </c>
      <c r="L19" s="4" t="inlineStr"/>
    </row>
    <row r="20">
      <c r="A20" s="7" t="inlineStr">
        <is>
          <t>PUB-01</t>
        </is>
      </c>
      <c r="B20" s="7" t="inlineStr">
        <is>
          <t>Nota Técnica para Setor Público</t>
        </is>
      </c>
      <c r="C20" s="7" t="inlineStr">
        <is>
          <t>Setor público</t>
        </is>
      </c>
      <c r="D20" s="8" t="n">
        <v>1200</v>
      </c>
      <c r="E20" s="8" t="n">
        <v>6500</v>
      </c>
      <c r="F20" s="8" t="n">
        <v>14000</v>
      </c>
      <c r="G20" s="8" t="n">
        <v>26000</v>
      </c>
      <c r="H20" s="8" t="n"/>
      <c r="I20" s="9" t="n">
        <v>0</v>
      </c>
      <c r="J20" s="8">
        <f>IF(H20="","",H20*(1-I20))</f>
        <v/>
      </c>
      <c r="K20" s="7" t="inlineStr">
        <is>
          <t>Customização</t>
        </is>
      </c>
      <c r="L20" s="7" t="inlineStr"/>
    </row>
    <row r="21">
      <c r="A21" s="4" t="inlineStr">
        <is>
          <t>DIAG-01</t>
        </is>
      </c>
      <c r="B21" s="4" t="inlineStr">
        <is>
          <t>Roteiro de Entrevista de Maturidade</t>
        </is>
      </c>
      <c r="C21" s="4" t="inlineStr">
        <is>
          <t>Diagnóstico</t>
        </is>
      </c>
      <c r="D21" s="5" t="n">
        <v>990</v>
      </c>
      <c r="E21" s="5" t="n">
        <v>4800</v>
      </c>
      <c r="F21" s="5" t="n">
        <v>15000</v>
      </c>
      <c r="G21" s="5" t="n">
        <v>25000</v>
      </c>
      <c r="H21" s="5" t="n"/>
      <c r="I21" s="6" t="n">
        <v>0</v>
      </c>
      <c r="J21" s="5">
        <f>IF(H21="","",H21*(1-I21))</f>
        <v/>
      </c>
      <c r="K21" s="4" t="inlineStr">
        <is>
          <t>Customização</t>
        </is>
      </c>
      <c r="L21" s="4" t="inlineStr"/>
    </row>
    <row r="22">
      <c r="A22" s="7" t="inlineStr">
        <is>
          <t>CHG-01</t>
        </is>
      </c>
      <c r="B22" s="7" t="inlineStr">
        <is>
          <t>Plano de Comunicação e Gestão da Mudança</t>
        </is>
      </c>
      <c r="C22" s="7" t="inlineStr">
        <is>
          <t>Mudança</t>
        </is>
      </c>
      <c r="D22" s="8" t="n">
        <v>990</v>
      </c>
      <c r="E22" s="8" t="n">
        <v>5000</v>
      </c>
      <c r="F22" s="8" t="n">
        <v>12000</v>
      </c>
      <c r="G22" s="8" t="n">
        <v>22000</v>
      </c>
      <c r="H22" s="8" t="n"/>
      <c r="I22" s="9" t="n">
        <v>0</v>
      </c>
      <c r="J22" s="8">
        <f>IF(H22="","",H22*(1-I22))</f>
        <v/>
      </c>
      <c r="K22" s="7" t="inlineStr">
        <is>
          <t>Customização</t>
        </is>
      </c>
      <c r="L22" s="7" t="inlineStr"/>
    </row>
    <row r="23">
      <c r="A23" s="4" t="inlineStr">
        <is>
          <t>XLS-01</t>
        </is>
      </c>
      <c r="B23" s="4" t="inlineStr">
        <is>
          <t>CRM e Funil Comercial</t>
        </is>
      </c>
      <c r="C23" s="4" t="inlineStr">
        <is>
          <t>Comercial</t>
        </is>
      </c>
      <c r="D23" s="5" t="n">
        <v>690</v>
      </c>
      <c r="E23" s="5" t="n">
        <v>3500</v>
      </c>
      <c r="F23" s="5" t="n">
        <v>8000</v>
      </c>
      <c r="G23" s="5" t="n">
        <v>14000</v>
      </c>
      <c r="H23" s="5" t="n"/>
      <c r="I23" s="6" t="n">
        <v>0</v>
      </c>
      <c r="J23" s="5">
        <f>IF(H23="","",H23*(1-I23))</f>
        <v/>
      </c>
      <c r="K23" s="4" t="inlineStr">
        <is>
          <t>Customização</t>
        </is>
      </c>
      <c r="L23" s="4" t="inlineStr"/>
    </row>
    <row r="24">
      <c r="A24" s="7" t="inlineStr">
        <is>
          <t>XLS-02</t>
        </is>
      </c>
      <c r="B24" s="7" t="inlineStr">
        <is>
          <t>Registro de Riscos</t>
        </is>
      </c>
      <c r="C24" s="7" t="inlineStr">
        <is>
          <t>Riscos</t>
        </is>
      </c>
      <c r="D24" s="8" t="n">
        <v>690</v>
      </c>
      <c r="E24" s="8" t="n">
        <v>4000</v>
      </c>
      <c r="F24" s="8" t="n">
        <v>9000</v>
      </c>
      <c r="G24" s="8" t="n">
        <v>16000</v>
      </c>
      <c r="H24" s="8" t="n"/>
      <c r="I24" s="9" t="n">
        <v>0</v>
      </c>
      <c r="J24" s="8">
        <f>IF(H24="","",H24*(1-I24))</f>
        <v/>
      </c>
      <c r="K24" s="7" t="inlineStr">
        <is>
          <t>Customização</t>
        </is>
      </c>
      <c r="L24" s="7" t="inlineStr"/>
    </row>
    <row r="25">
      <c r="A25" s="4" t="inlineStr">
        <is>
          <t>XLS-03</t>
        </is>
      </c>
      <c r="B25" s="4" t="inlineStr">
        <is>
          <t>Matriz RACI</t>
        </is>
      </c>
      <c r="C25" s="4" t="inlineStr">
        <is>
          <t>Projetos</t>
        </is>
      </c>
      <c r="D25" s="5" t="n">
        <v>490</v>
      </c>
      <c r="E25" s="5" t="n">
        <v>2800</v>
      </c>
      <c r="F25" s="5" t="n">
        <v>6000</v>
      </c>
      <c r="G25" s="5" t="n">
        <v>10000</v>
      </c>
      <c r="H25" s="5" t="n"/>
      <c r="I25" s="6" t="n">
        <v>0</v>
      </c>
      <c r="J25" s="5">
        <f>IF(H25="","",H25*(1-I25))</f>
        <v/>
      </c>
      <c r="K25" s="4" t="inlineStr">
        <is>
          <t>Customização</t>
        </is>
      </c>
      <c r="L25" s="4" t="inlineStr"/>
    </row>
    <row r="26">
      <c r="A26" s="7" t="inlineStr">
        <is>
          <t>XLS-04</t>
        </is>
      </c>
      <c r="B26" s="7" t="inlineStr">
        <is>
          <t>Painel de Indicadores e SLA</t>
        </is>
      </c>
      <c r="C26" s="7" t="inlineStr">
        <is>
          <t>Operação</t>
        </is>
      </c>
      <c r="D26" s="8" t="n">
        <v>990</v>
      </c>
      <c r="E26" s="8" t="n">
        <v>5500</v>
      </c>
      <c r="F26" s="8" t="n">
        <v>12000</v>
      </c>
      <c r="G26" s="8" t="n">
        <v>22000</v>
      </c>
      <c r="H26" s="8" t="n"/>
      <c r="I26" s="9" t="n">
        <v>0</v>
      </c>
      <c r="J26" s="8">
        <f>IF(H26="","",H26*(1-I26))</f>
        <v/>
      </c>
      <c r="K26" s="7" t="inlineStr">
        <is>
          <t>Customização</t>
        </is>
      </c>
      <c r="L26" s="7" t="inlineStr"/>
    </row>
    <row r="27">
      <c r="A27" s="4" t="inlineStr">
        <is>
          <t>XLS-05</t>
        </is>
      </c>
      <c r="B27" s="4" t="inlineStr">
        <is>
          <t>Cadastro e Avaliação de Fornecedores</t>
        </is>
      </c>
      <c r="C27" s="4" t="inlineStr">
        <is>
          <t>Fornecedores</t>
        </is>
      </c>
      <c r="D27" s="5" t="n">
        <v>790</v>
      </c>
      <c r="E27" s="5" t="n">
        <v>4500</v>
      </c>
      <c r="F27" s="5" t="n">
        <v>10000</v>
      </c>
      <c r="G27" s="5" t="n">
        <v>18000</v>
      </c>
      <c r="H27" s="5" t="n"/>
      <c r="I27" s="6" t="n">
        <v>0</v>
      </c>
      <c r="J27" s="5">
        <f>IF(H27="","",H27*(1-I27))</f>
        <v/>
      </c>
      <c r="K27" s="4" t="inlineStr">
        <is>
          <t>Customização</t>
        </is>
      </c>
      <c r="L27" s="4" t="inlineStr"/>
    </row>
    <row r="28">
      <c r="A28" s="7" t="inlineStr">
        <is>
          <t>XLS-06</t>
        </is>
      </c>
      <c r="B28" s="7" t="inlineStr">
        <is>
          <t>Plano de Ação 5W2H</t>
        </is>
      </c>
      <c r="C28" s="7" t="inlineStr">
        <is>
          <t>Execução</t>
        </is>
      </c>
      <c r="D28" s="8" t="n">
        <v>390</v>
      </c>
      <c r="E28" s="8" t="n">
        <v>2200</v>
      </c>
      <c r="F28" s="8" t="n">
        <v>4000</v>
      </c>
      <c r="G28" s="8" t="n">
        <v>7000</v>
      </c>
      <c r="H28" s="8" t="n"/>
      <c r="I28" s="9" t="n">
        <v>0</v>
      </c>
      <c r="J28" s="8">
        <f>IF(H28="","",H28*(1-I28))</f>
        <v/>
      </c>
      <c r="K28" s="7" t="inlineStr">
        <is>
          <t>Customização</t>
        </is>
      </c>
      <c r="L28" s="7" t="inlineStr"/>
    </row>
  </sheetData>
  <autoFilter ref="A4:L28"/>
  <mergeCells count="2">
    <mergeCell ref="A2:L2"/>
    <mergeCell ref="A1:L1"/>
  </mergeCells>
  <dataValidations count="1">
    <dataValidation sqref="K5:K28" showDropDown="0" showInputMessage="0" showErrorMessage="0" allowBlank="1" type="list">
      <formula1>"Licença,Customização,Implantação"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30" customWidth="1" min="8" max="8"/>
    <col width="35" customWidth="1" min="9" max="9"/>
  </cols>
  <sheetData>
    <row r="1" ht="28" customHeight="1">
      <c r="A1" s="1" t="inlineStr">
        <is>
          <t>VÉRTICE | PACOTES DE CONSULTORIA</t>
        </is>
      </c>
    </row>
    <row r="2" ht="32" customHeight="1">
      <c r="A2" s="2" t="inlineStr">
        <is>
          <t>Use esta aba para vender resultado e implantação, evitando negociação por arquivo isolado.</t>
        </is>
      </c>
    </row>
    <row r="4" ht="32" customHeight="1">
      <c r="A4" s="3" t="inlineStr">
        <is>
          <t>Pacote</t>
        </is>
      </c>
      <c r="B4" s="3" t="inlineStr">
        <is>
          <t>Composição</t>
        </is>
      </c>
      <c r="C4" s="3" t="inlineStr">
        <is>
          <t>Preço mínimo</t>
        </is>
      </c>
      <c r="D4" s="3" t="inlineStr">
        <is>
          <t>Preço máximo</t>
        </is>
      </c>
      <c r="E4" s="3" t="inlineStr">
        <is>
          <t>Preço proposto</t>
        </is>
      </c>
      <c r="F4" s="3" t="inlineStr">
        <is>
          <t>Desconto %</t>
        </is>
      </c>
      <c r="G4" s="3" t="inlineStr">
        <is>
          <t>Preço final</t>
        </is>
      </c>
      <c r="H4" s="3" t="inlineStr">
        <is>
          <t>Segmento / uso</t>
        </is>
      </c>
      <c r="I4" s="3" t="inlineStr">
        <is>
          <t>Observação</t>
        </is>
      </c>
    </row>
    <row r="5">
      <c r="A5" s="4" t="inlineStr">
        <is>
          <t>Base Comercial Organizada</t>
        </is>
      </c>
      <c r="B5" s="4" t="inlineStr">
        <is>
          <t>COM-01, COM-02, XLS-01 e oficina</t>
        </is>
      </c>
      <c r="C5" s="5" t="n">
        <v>5900</v>
      </c>
      <c r="D5" s="5" t="n">
        <v>8900</v>
      </c>
      <c r="E5" s="5" t="n"/>
      <c r="F5" s="6" t="n">
        <v>0</v>
      </c>
      <c r="G5" s="5">
        <f>IF(E5="","",E5*(1-F5))</f>
        <v/>
      </c>
      <c r="H5" s="4" t="inlineStr">
        <is>
          <t>Empresa de serviços</t>
        </is>
      </c>
      <c r="I5" s="4" t="inlineStr"/>
    </row>
    <row r="6">
      <c r="A6" s="7" t="inlineStr">
        <is>
          <t>Diagnóstico Executivo de Governança</t>
        </is>
      </c>
      <c r="B6" s="7" t="inlineStr">
        <is>
          <t>DIAG-01, COM-03, XLS-02, relatório e apresentação</t>
        </is>
      </c>
      <c r="C6" s="8" t="n">
        <v>14900</v>
      </c>
      <c r="D6" s="8" t="n">
        <v>24900</v>
      </c>
      <c r="E6" s="8" t="n"/>
      <c r="F6" s="9" t="n">
        <v>0</v>
      </c>
      <c r="G6" s="8">
        <f>IF(E6="","",E6*(1-F6))</f>
        <v/>
      </c>
      <c r="H6" s="7" t="inlineStr">
        <is>
          <t>Liderança que precisa priorizar TI</t>
        </is>
      </c>
      <c r="I6" s="7" t="inlineStr"/>
    </row>
    <row r="7">
      <c r="A7" s="4" t="inlineStr">
        <is>
          <t>PMO e Controle de Projetos</t>
        </is>
      </c>
      <c r="B7" s="4" t="inlineStr">
        <is>
          <t>PRJ-01, PRJ-02, GOV-03 a GOV-05, RACI e capacitação</t>
        </is>
      </c>
      <c r="C7" s="5" t="n">
        <v>22900</v>
      </c>
      <c r="D7" s="5" t="n">
        <v>38900</v>
      </c>
      <c r="E7" s="5" t="n"/>
      <c r="F7" s="6" t="n">
        <v>0</v>
      </c>
      <c r="G7" s="5">
        <f>IF(E7="","",E7*(1-F7))</f>
        <v/>
      </c>
      <c r="H7" s="4" t="inlineStr">
        <is>
          <t>Projetos com atraso ou pouca visibilidade</t>
        </is>
      </c>
      <c r="I7" s="4" t="inlineStr"/>
    </row>
    <row r="8">
      <c r="A8" s="7" t="inlineStr">
        <is>
          <t>Governança de TI em 90 Dias</t>
        </is>
      </c>
      <c r="B8" s="7" t="inlineStr">
        <is>
          <t>Diagnóstico, comitê, status, riscos, indicadores e roadmap</t>
        </is>
      </c>
      <c r="C8" s="8" t="n">
        <v>35000</v>
      </c>
      <c r="D8" s="8" t="n">
        <v>55000</v>
      </c>
      <c r="E8" s="8" t="n"/>
      <c r="F8" s="9" t="n">
        <v>0</v>
      </c>
      <c r="G8" s="8">
        <f>IF(E8="","",E8*(1-F8))</f>
        <v/>
      </c>
      <c r="H8" s="7" t="inlineStr">
        <is>
          <t>Empresa ou órgão em estruturação</t>
        </is>
      </c>
      <c r="I8" s="7" t="inlineStr"/>
    </row>
    <row r="9">
      <c r="A9" s="4" t="inlineStr">
        <is>
          <t>Dados e Privacidade Operacional</t>
        </is>
      </c>
      <c r="B9" s="4" t="inlineStr">
        <is>
          <t>DAT-01, DAT-02 se aplicável, riscos e oficinas</t>
        </is>
      </c>
      <c r="C9" s="5" t="n">
        <v>32000</v>
      </c>
      <c r="D9" s="5" t="n">
        <v>55000</v>
      </c>
      <c r="E9" s="5" t="n"/>
      <c r="F9" s="6" t="n">
        <v>0</v>
      </c>
      <c r="G9" s="5">
        <f>IF(E9="","",E9*(1-F9))</f>
        <v/>
      </c>
      <c r="H9" s="4" t="inlineStr">
        <is>
          <t>Operações com dados pessoais</t>
        </is>
      </c>
      <c r="I9" s="4" t="inlineStr"/>
    </row>
    <row r="10">
      <c r="A10" s="7" t="inlineStr">
        <is>
          <t>Governança de IA Inicial</t>
        </is>
      </c>
      <c r="B10" s="7" t="inlineStr">
        <is>
          <t>IA-01, riscos, controles e decisão executiva</t>
        </is>
      </c>
      <c r="C10" s="8" t="n">
        <v>35000</v>
      </c>
      <c r="D10" s="8" t="n">
        <v>60000</v>
      </c>
      <c r="E10" s="8" t="n"/>
      <c r="F10" s="9" t="n">
        <v>0</v>
      </c>
      <c r="G10" s="8">
        <f>IF(E10="","",E10*(1-F10))</f>
        <v/>
      </c>
      <c r="H10" s="7" t="inlineStr">
        <is>
          <t>Empresa que avalia ou usa IA</t>
        </is>
      </c>
      <c r="I10" s="7" t="inlineStr"/>
    </row>
    <row r="11">
      <c r="A11" s="4" t="inlineStr">
        <is>
          <t>Gestão de Fornecedores Críticos</t>
        </is>
      </c>
      <c r="B11" s="4" t="inlineStr">
        <is>
          <t>FOR-01, XLS-05, SLA, riscos e plano</t>
        </is>
      </c>
      <c r="C11" s="5" t="n">
        <v>18000</v>
      </c>
      <c r="D11" s="5" t="n">
        <v>32000</v>
      </c>
      <c r="E11" s="5" t="n"/>
      <c r="F11" s="6" t="n">
        <v>0</v>
      </c>
      <c r="G11" s="5">
        <f>IF(E11="","",E11*(1-F11))</f>
        <v/>
      </c>
      <c r="H11" s="4" t="inlineStr">
        <is>
          <t>Dependência de terceiros críticos</t>
        </is>
      </c>
      <c r="I11" s="4" t="inlineStr"/>
    </row>
    <row r="12">
      <c r="A12" s="7" t="inlineStr">
        <is>
          <t>Assessoria de Governança Mensal</t>
        </is>
      </c>
      <c r="B12" s="7" t="inlineStr">
        <is>
          <t>Comitê, status, riscos, indicadores e ritos mensais</t>
        </is>
      </c>
      <c r="C12" s="8" t="n">
        <v>8900</v>
      </c>
      <c r="D12" s="8" t="n">
        <v>14900</v>
      </c>
      <c r="E12" s="8" t="n"/>
      <c r="F12" s="9" t="n">
        <v>0</v>
      </c>
      <c r="G12" s="8">
        <f>IF(E12="","",E12*(1-F12))</f>
        <v/>
      </c>
      <c r="H12" s="7" t="inlineStr">
        <is>
          <t>Sustentação mínima de seis meses</t>
        </is>
      </c>
      <c r="I12" s="7" t="inlineStr"/>
    </row>
    <row r="13">
      <c r="A13" s="4" t="inlineStr">
        <is>
          <t>Programa Municipal de Governança Digital</t>
        </is>
      </c>
      <c r="B13" s="4" t="inlineStr">
        <is>
          <t>Diagnóstico, nota técnica, oficinas, plano de 90 dias e transferência</t>
        </is>
      </c>
      <c r="C13" s="5" t="n">
        <v>45000</v>
      </c>
      <c r="D13" s="5" t="n">
        <v>75000</v>
      </c>
      <c r="E13" s="5" t="n"/>
      <c r="F13" s="6" t="n">
        <v>0</v>
      </c>
      <c r="G13" s="5">
        <f>IF(E13="","",E13*(1-F13))</f>
        <v/>
      </c>
      <c r="H13" s="4" t="inlineStr">
        <is>
          <t>Prefeitura ou câmara</t>
        </is>
      </c>
      <c r="I13" s="4" t="inlineStr"/>
    </row>
  </sheetData>
  <autoFilter ref="A4:I13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8" customWidth="1" min="5" max="5"/>
    <col width="18" customWidth="1" min="6" max="6"/>
    <col width="16" customWidth="1" min="7" max="7"/>
    <col width="18" customWidth="1" min="8" max="8"/>
    <col width="16" customWidth="1" min="9" max="9"/>
    <col width="18" customWidth="1" min="10" max="10"/>
  </cols>
  <sheetData>
    <row r="1" ht="28" customHeight="1">
      <c r="A1" s="1" t="inlineStr">
        <is>
          <t>VÉRTICE | CALCULADORA DE ESCOPO</t>
        </is>
      </c>
    </row>
    <row r="2" ht="32" customHeight="1">
      <c r="A2" s="2" t="inlineStr">
        <is>
          <t>Monte o esforço previsto antes de definir o preço de projeto. A planilha calcula o piso econômico; a decisão de preço ainda depende de valor percebido, risco e concorrência.</t>
        </is>
      </c>
    </row>
    <row r="4" ht="32" customHeight="1">
      <c r="A4" s="3" t="inlineStr">
        <is>
          <t>Papel</t>
        </is>
      </c>
      <c r="B4" s="3" t="inlineStr">
        <is>
          <t>Horas estimadas</t>
        </is>
      </c>
      <c r="C4" s="3" t="inlineStr">
        <is>
          <t>Taxa interna</t>
        </is>
      </c>
      <c r="D4" s="3" t="inlineStr">
        <is>
          <t>Subtotal</t>
        </is>
      </c>
      <c r="E4" s="3" t="inlineStr">
        <is>
          <t>Reserva de risco %</t>
        </is>
      </c>
      <c r="F4" s="3" t="inlineStr">
        <is>
          <t>Reserva de risco</t>
        </is>
      </c>
      <c r="G4" s="3" t="inlineStr">
        <is>
          <t>Custos diretos</t>
        </is>
      </c>
      <c r="H4" s="3" t="inlineStr">
        <is>
          <t>Piso econômico</t>
        </is>
      </c>
      <c r="I4" s="3" t="inlineStr">
        <is>
          <t>Preço alvo</t>
        </is>
      </c>
      <c r="J4" s="3" t="inlineStr">
        <is>
          <t>Margem sobre piso</t>
        </is>
      </c>
    </row>
    <row r="5">
      <c r="A5" s="4" t="inlineStr">
        <is>
          <t>Sócio / líder de governança</t>
        </is>
      </c>
      <c r="B5" s="4" t="n">
        <v>0</v>
      </c>
      <c r="C5" s="5" t="n">
        <v>340</v>
      </c>
      <c r="D5" s="5">
        <f>B5*C5</f>
        <v/>
      </c>
      <c r="E5" s="6" t="n">
        <v>0.2</v>
      </c>
      <c r="F5" s="5">
        <f>D5*E5</f>
        <v/>
      </c>
      <c r="G5" s="5" t="n">
        <v>0</v>
      </c>
      <c r="H5" s="5">
        <f>D5+F5+G5</f>
        <v/>
      </c>
      <c r="I5" s="5" t="n">
        <v>0</v>
      </c>
      <c r="J5" s="10">
        <f>IF(I5=0,"",(I5-H5)/I5)</f>
        <v/>
      </c>
    </row>
    <row r="6">
      <c r="A6" s="7" t="inlineStr">
        <is>
          <t>Consultor de governança</t>
        </is>
      </c>
      <c r="B6" s="7" t="n">
        <v>0</v>
      </c>
      <c r="C6" s="8" t="n">
        <v>260</v>
      </c>
      <c r="D6" s="8">
        <f>B6*C6</f>
        <v/>
      </c>
      <c r="E6" s="9" t="n">
        <v>0.2</v>
      </c>
      <c r="F6" s="8">
        <f>D6*E6</f>
        <v/>
      </c>
      <c r="G6" s="8" t="n">
        <v>0</v>
      </c>
      <c r="H6" s="8">
        <f>D6+F6+G6</f>
        <v/>
      </c>
      <c r="I6" s="8" t="n">
        <v>0</v>
      </c>
      <c r="J6" s="11">
        <f>IF(I6=0,"",(I6-H6)/I6)</f>
        <v/>
      </c>
    </row>
    <row r="7">
      <c r="A7" s="4" t="inlineStr">
        <is>
          <t>Analista / apoio de projeto</t>
        </is>
      </c>
      <c r="B7" s="4" t="n">
        <v>0</v>
      </c>
      <c r="C7" s="5" t="n">
        <v>150</v>
      </c>
      <c r="D7" s="5">
        <f>B7*C7</f>
        <v/>
      </c>
      <c r="E7" s="6" t="n">
        <v>0.2</v>
      </c>
      <c r="F7" s="5">
        <f>D7*E7</f>
        <v/>
      </c>
      <c r="G7" s="5" t="n">
        <v>0</v>
      </c>
      <c r="H7" s="5">
        <f>D7+F7+G7</f>
        <v/>
      </c>
      <c r="I7" s="5" t="n">
        <v>0</v>
      </c>
      <c r="J7" s="10">
        <f>IF(I7=0,"",(I7-H7)/I7)</f>
        <v/>
      </c>
    </row>
    <row r="9">
      <c r="A9" s="12" t="inlineStr">
        <is>
          <t>TOTAL</t>
        </is>
      </c>
      <c r="B9" s="12" t="n"/>
      <c r="C9" s="12" t="n"/>
      <c r="D9" s="13">
        <f>SUM(D5:D7)</f>
        <v/>
      </c>
      <c r="E9" s="12" t="n"/>
      <c r="F9" s="13">
        <f>SUM(F5:F7)</f>
        <v/>
      </c>
      <c r="G9" s="13">
        <f>SUM(G5:G7)</f>
        <v/>
      </c>
      <c r="H9" s="13">
        <f>SUM(H5:H7)</f>
        <v/>
      </c>
      <c r="I9" s="13">
        <f>SUM(I5:I7)</f>
        <v/>
      </c>
      <c r="J9" s="14">
        <f>IF(I9=0,"",(I9-H9)/I9)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5" t="inlineStr">
        <is>
          <t>VÉRTICE | REGRAS DE PREÇO E USO</t>
        </is>
      </c>
    </row>
    <row r="3" ht="42" customHeight="1">
      <c r="A3" s="16" t="inlineStr">
        <is>
          <t>1. Ponto de partida</t>
        </is>
      </c>
      <c r="B3" s="17" t="inlineStr">
        <is>
          <t>Os valores são preço de lista sugerido. Ajuste por complexidade, exposição, urgência, presencialidade, risco e custos diretos.</t>
        </is>
      </c>
    </row>
    <row r="4" ht="42" customHeight="1">
      <c r="A4" s="16" t="inlineStr">
        <is>
          <t>2. Descontos</t>
        </is>
      </c>
      <c r="B4" s="17" t="inlineStr">
        <is>
          <t>Licenças: até 10% por pagamento antecipado; 12% de 3 a 5 licenças; 15% a partir de 6 licenças. Implantação: até 10% somente com contrapartida objetiva.</t>
        </is>
      </c>
    </row>
    <row r="5" ht="42" customHeight="1">
      <c r="A5" s="16" t="inlineStr">
        <is>
          <t>3. Desconto maior</t>
        </is>
      </c>
      <c r="B5" s="17" t="inlineStr">
        <is>
          <t>Se o cliente pedir desconto acima do limite, reduza entrevistas, oficinas, rodadas de revisão, prazo ou acompanhamento. Não reduza apenas o preço.</t>
        </is>
      </c>
    </row>
    <row r="6" ht="42" customHeight="1">
      <c r="A6" s="16" t="inlineStr">
        <is>
          <t>4. Pagamentos</t>
        </is>
      </c>
      <c r="B6" s="17" t="inlineStr">
        <is>
          <t>Licença: 100% antecipado. Customização: 50% na contratação e 50% na entrega. Implantação: 40% mobilização, 40% intermediária, 20% aceite, ou faturamento mensal por marcos.</t>
        </is>
      </c>
    </row>
    <row r="7" ht="42" customHeight="1">
      <c r="A7" s="16" t="inlineStr">
        <is>
          <t>5. Setor público</t>
        </is>
      </c>
      <c r="B7" s="17" t="inlineStr">
        <is>
          <t>Não tratar o arquivo como objeto isolado. Estruture escopo técnico, entregas, oficinas, transferência e critérios de aceite; valide a contratação com área jurídica e processo do órgão.</t>
        </is>
      </c>
    </row>
    <row r="8" ht="42" customHeight="1">
      <c r="A8" s="16" t="inlineStr">
        <is>
          <t>6. Limites</t>
        </is>
      </c>
      <c r="B8" s="17" t="inlineStr">
        <is>
          <t>A tabela não contempla impostos, deslocamento, hospedagem, aquisição de ferramentas, parecer jurídico, desenvolvimento de software ou licença de terceiros.</t>
        </is>
      </c>
    </row>
    <row r="9" ht="42" customHeight="1">
      <c r="A9" s="16" t="inlineStr">
        <is>
          <t>7. Revisão</t>
        </is>
      </c>
      <c r="B9" s="17" t="inlineStr">
        <is>
          <t>Revise a tabela após cinco propostas e após as três primeiras vendas, comparando esforço real, conversão, margem e feedback de mercado.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2026-08-21T12:07:43Z</dcterms:created>
  <dcterms:modified xmlns:dcterms="http://purl.org/dc/terms/" xmlns:xsi="http://www.w3.org/2001/XMLSchema-instance" xsi:type="dcterms:W3CDTF">2026-08-21T12:07:43Z</dcterms:modified>
</cp:coreProperties>
</file>